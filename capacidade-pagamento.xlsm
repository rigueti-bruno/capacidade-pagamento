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56gwnr-my.sharepoint.com/personal/contato_rigueti_com/Documents/Portfolio/capacidade-pagamento/"/>
    </mc:Choice>
  </mc:AlternateContent>
  <xr:revisionPtr revIDLastSave="230" documentId="8_{2B640105-0639-44ED-8219-2206B2BE9A9C}" xr6:coauthVersionLast="47" xr6:coauthVersionMax="47" xr10:uidLastSave="{9AC4CAA5-67AE-4FA9-9548-0095545F2611}"/>
  <bookViews>
    <workbookView xWindow="28680" yWindow="-120" windowWidth="21840" windowHeight="13740" xr2:uid="{4C9C3B67-5508-4FB5-BB87-36D5500E8582}"/>
  </bookViews>
  <sheets>
    <sheet name="Análise da Proposta" sheetId="1" r:id="rId1"/>
    <sheet name="Análise de Garantia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" l="1"/>
  <c r="F12" i="2"/>
  <c r="F11" i="2"/>
  <c r="F19" i="2"/>
  <c r="B40" i="2"/>
  <c r="B39" i="2"/>
  <c r="B26" i="2"/>
  <c r="B25" i="2"/>
  <c r="B12" i="2"/>
  <c r="B11" i="2"/>
  <c r="F15" i="2"/>
  <c r="F7" i="2"/>
  <c r="B36" i="2"/>
  <c r="B32" i="2"/>
  <c r="B18" i="2"/>
  <c r="B22" i="2"/>
  <c r="B8" i="2"/>
  <c r="B6" i="2"/>
  <c r="B5" i="2"/>
  <c r="B4" i="2"/>
  <c r="B20" i="1"/>
  <c r="B19" i="1"/>
  <c r="B16" i="1"/>
  <c r="B14" i="1"/>
  <c r="B13" i="1"/>
  <c r="B10" i="1"/>
</calcChain>
</file>

<file path=xl/sharedStrings.xml><?xml version="1.0" encoding="utf-8"?>
<sst xmlns="http://schemas.openxmlformats.org/spreadsheetml/2006/main" count="66" uniqueCount="30">
  <si>
    <t>Associado:</t>
  </si>
  <si>
    <t>Conta Corrente:</t>
  </si>
  <si>
    <t>Valor Solicitado:</t>
  </si>
  <si>
    <t>Nº de Parcelas:</t>
  </si>
  <si>
    <t>Taxa Negociada:</t>
  </si>
  <si>
    <t>Exposição de Crédito Atual - Anual:</t>
  </si>
  <si>
    <t>Exposição de Crédito Atual - Mensal:</t>
  </si>
  <si>
    <t>Renda Mensal:</t>
  </si>
  <si>
    <t>Valor das Parcelas:</t>
  </si>
  <si>
    <t>Comprometimento Projetado:</t>
  </si>
  <si>
    <t>Avaliação:</t>
  </si>
  <si>
    <t>Análise da Proposta</t>
  </si>
  <si>
    <t>Limites - Cartão + Cheque Especial:</t>
  </si>
  <si>
    <t>Exposição Mensal Proposta</t>
  </si>
  <si>
    <t>"Nome do Cliente"</t>
  </si>
  <si>
    <t>"Número da Conta"</t>
  </si>
  <si>
    <t>Apetite ao Risco:</t>
  </si>
  <si>
    <t>Exposição Total Proposta:</t>
  </si>
  <si>
    <t>Patrimônio Declarado:</t>
  </si>
  <si>
    <t>Respaldo Patrimonial:</t>
  </si>
  <si>
    <t>Avalista 1:</t>
  </si>
  <si>
    <t>Avalista 2:</t>
  </si>
  <si>
    <t>Tipo de Garantia:</t>
  </si>
  <si>
    <t>Veículo</t>
  </si>
  <si>
    <t>Imóvel</t>
  </si>
  <si>
    <t>Valor da Garantia 1:</t>
  </si>
  <si>
    <t>Respaldo da Garantia:</t>
  </si>
  <si>
    <t>Valor da Garantia 2:</t>
  </si>
  <si>
    <t>Respaldo Patrimonial (&gt;=):</t>
  </si>
  <si>
    <t>Respaldo de Garantia (&gt;=):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</si>
</sst>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7" formatCode="&quot;R$&quot;\ #,##0.00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10" fontId="0" fillId="0" borderId="0" xfId="2" applyNumberFormat="1" applyFont="1"/>
    <xf numFmtId="0" fontId="0" fillId="0" borderId="0" xfId="0" applyAlignment="1">
      <alignment horizontal="center"/>
    </xf>
    <xf numFmtId="10" fontId="0" fillId="0" borderId="0" xfId="2" applyNumberFormat="1" applyFont="1" applyAlignment="1">
      <alignment horizontal="center"/>
    </xf>
    <xf numFmtId="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/>
    </xf>
    <xf numFmtId="9" fontId="0" fillId="0" borderId="0" xfId="2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/>
    <xf numFmtId="167" fontId="0" fillId="0" borderId="4" xfId="0" applyNumberFormat="1" applyBorder="1" applyAlignment="1">
      <alignment horizontal="center"/>
    </xf>
    <xf numFmtId="10" fontId="0" fillId="0" borderId="4" xfId="2" applyNumberFormat="1" applyFont="1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0" fillId="0" borderId="3" xfId="0" applyFill="1" applyBorder="1"/>
    <xf numFmtId="167" fontId="0" fillId="0" borderId="4" xfId="1" applyNumberFormat="1" applyFont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71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851E4-D28C-40FA-8EFF-9169A7489840}">
  <dimension ref="A1:F20"/>
  <sheetViews>
    <sheetView tabSelected="1" workbookViewId="0"/>
  </sheetViews>
  <sheetFormatPr defaultRowHeight="14.4" x14ac:dyDescent="0.3"/>
  <cols>
    <col min="1" max="1" width="32.6640625" bestFit="1" customWidth="1"/>
    <col min="2" max="2" width="17.6640625" bestFit="1" customWidth="1"/>
    <col min="5" max="5" width="15.21875" bestFit="1" customWidth="1"/>
  </cols>
  <sheetData>
    <row r="1" spans="1:6" x14ac:dyDescent="0.3">
      <c r="A1" s="9" t="s">
        <v>0</v>
      </c>
      <c r="B1" s="2" t="s">
        <v>14</v>
      </c>
      <c r="E1" t="s">
        <v>16</v>
      </c>
      <c r="F1" s="7">
        <v>0.3</v>
      </c>
    </row>
    <row r="2" spans="1:6" x14ac:dyDescent="0.3">
      <c r="A2" s="9" t="s">
        <v>1</v>
      </c>
      <c r="B2" s="2" t="s">
        <v>15</v>
      </c>
    </row>
    <row r="3" spans="1:6" x14ac:dyDescent="0.3">
      <c r="A3" s="9"/>
      <c r="B3" s="2"/>
    </row>
    <row r="4" spans="1:6" x14ac:dyDescent="0.3">
      <c r="A4" s="9" t="s">
        <v>2</v>
      </c>
      <c r="B4" s="5">
        <v>24000</v>
      </c>
    </row>
    <row r="5" spans="1:6" x14ac:dyDescent="0.3">
      <c r="A5" s="9" t="s">
        <v>3</v>
      </c>
      <c r="B5" s="2">
        <v>36</v>
      </c>
    </row>
    <row r="6" spans="1:6" x14ac:dyDescent="0.3">
      <c r="A6" s="9" t="s">
        <v>4</v>
      </c>
      <c r="B6" s="3">
        <v>4.1000000000000002E-2</v>
      </c>
    </row>
    <row r="9" spans="1:6" x14ac:dyDescent="0.3">
      <c r="A9" s="8" t="s">
        <v>11</v>
      </c>
      <c r="B9" s="8"/>
    </row>
    <row r="10" spans="1:6" x14ac:dyDescent="0.3">
      <c r="A10" t="s">
        <v>8</v>
      </c>
      <c r="B10" s="4">
        <f>PMT(B6,B5,-B4)</f>
        <v>1286.9175732864144</v>
      </c>
    </row>
    <row r="12" spans="1:6" x14ac:dyDescent="0.3">
      <c r="A12" t="s">
        <v>5</v>
      </c>
      <c r="B12" s="6">
        <v>50000</v>
      </c>
    </row>
    <row r="13" spans="1:6" x14ac:dyDescent="0.3">
      <c r="A13" t="s">
        <v>6</v>
      </c>
      <c r="B13" s="5">
        <f>B12/12</f>
        <v>4166.666666666667</v>
      </c>
    </row>
    <row r="14" spans="1:6" x14ac:dyDescent="0.3">
      <c r="A14" t="s">
        <v>12</v>
      </c>
      <c r="B14" s="5">
        <f>2000+600</f>
        <v>2600</v>
      </c>
    </row>
    <row r="16" spans="1:6" x14ac:dyDescent="0.3">
      <c r="A16" t="s">
        <v>13</v>
      </c>
      <c r="B16" s="5">
        <f>B10+B13+B14</f>
        <v>8053.5842399530811</v>
      </c>
    </row>
    <row r="17" spans="1:2" x14ac:dyDescent="0.3">
      <c r="A17" t="s">
        <v>7</v>
      </c>
      <c r="B17" s="5">
        <v>12000</v>
      </c>
    </row>
    <row r="19" spans="1:2" x14ac:dyDescent="0.3">
      <c r="A19" t="s">
        <v>9</v>
      </c>
      <c r="B19" s="3">
        <f>B16/B17</f>
        <v>0.67113201999609007</v>
      </c>
    </row>
    <row r="20" spans="1:2" x14ac:dyDescent="0.3">
      <c r="A20" t="s">
        <v>10</v>
      </c>
      <c r="B20" s="2" t="str">
        <f>IF(B19&lt;=F1,"Aprovado","Recusado")</f>
        <v>Recusado</v>
      </c>
    </row>
  </sheetData>
  <mergeCells count="1">
    <mergeCell ref="A9:B9"/>
  </mergeCells>
  <conditionalFormatting sqref="B20">
    <cfRule type="containsText" dxfId="33" priority="1" operator="containsText" text="Recusado">
      <formula>NOT(ISERROR(SEARCH("Recusado",B20)))</formula>
    </cfRule>
    <cfRule type="containsText" dxfId="32" priority="2" operator="containsText" text="Aprovado">
      <formula>NOT(ISERROR(SEARCH("Aprovado",B20)))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8E4D3-444E-466C-A04D-2A96C3193AF4}">
  <dimension ref="A1:F40"/>
  <sheetViews>
    <sheetView workbookViewId="0"/>
  </sheetViews>
  <sheetFormatPr defaultRowHeight="14.4" x14ac:dyDescent="0.3"/>
  <cols>
    <col min="1" max="1" width="31.33203125" bestFit="1" customWidth="1"/>
    <col min="2" max="2" width="17.6640625" bestFit="1" customWidth="1"/>
    <col min="5" max="5" width="24.33203125" bestFit="1" customWidth="1"/>
    <col min="6" max="6" width="17.6640625" bestFit="1" customWidth="1"/>
  </cols>
  <sheetData>
    <row r="1" spans="1:6" x14ac:dyDescent="0.3">
      <c r="A1" s="10" t="s">
        <v>0</v>
      </c>
      <c r="B1" s="11" t="s">
        <v>14</v>
      </c>
      <c r="E1" t="s">
        <v>28</v>
      </c>
      <c r="F1" s="1">
        <v>1</v>
      </c>
    </row>
    <row r="2" spans="1:6" x14ac:dyDescent="0.3">
      <c r="A2" s="12" t="s">
        <v>1</v>
      </c>
      <c r="B2" s="13" t="s">
        <v>15</v>
      </c>
    </row>
    <row r="3" spans="1:6" x14ac:dyDescent="0.3">
      <c r="A3" s="12"/>
      <c r="B3" s="14"/>
      <c r="E3" t="s">
        <v>29</v>
      </c>
    </row>
    <row r="4" spans="1:6" x14ac:dyDescent="0.3">
      <c r="A4" s="12" t="s">
        <v>2</v>
      </c>
      <c r="B4" s="15">
        <f>'Análise da Proposta'!B4</f>
        <v>24000</v>
      </c>
      <c r="E4" t="s">
        <v>23</v>
      </c>
      <c r="F4" s="3">
        <v>1.2</v>
      </c>
    </row>
    <row r="5" spans="1:6" x14ac:dyDescent="0.3">
      <c r="A5" s="12" t="s">
        <v>5</v>
      </c>
      <c r="B5" s="15">
        <f>'Análise da Proposta'!B12</f>
        <v>50000</v>
      </c>
      <c r="E5" t="s">
        <v>24</v>
      </c>
      <c r="F5" s="3">
        <v>1</v>
      </c>
    </row>
    <row r="6" spans="1:6" ht="15" thickBot="1" x14ac:dyDescent="0.35">
      <c r="A6" s="12" t="s">
        <v>12</v>
      </c>
      <c r="B6" s="15">
        <f>'Análise da Proposta'!B14</f>
        <v>2600</v>
      </c>
    </row>
    <row r="7" spans="1:6" x14ac:dyDescent="0.3">
      <c r="A7" s="12"/>
      <c r="B7" s="14"/>
      <c r="E7" s="10" t="s">
        <v>2</v>
      </c>
      <c r="F7" s="19">
        <f>'Análise da Proposta'!B4</f>
        <v>24000</v>
      </c>
    </row>
    <row r="8" spans="1:6" x14ac:dyDescent="0.3">
      <c r="A8" s="12" t="s">
        <v>17</v>
      </c>
      <c r="B8" s="15">
        <f>SUM(B4:B6)</f>
        <v>76600</v>
      </c>
      <c r="E8" s="20" t="s">
        <v>22</v>
      </c>
      <c r="F8" s="13" t="s">
        <v>23</v>
      </c>
    </row>
    <row r="9" spans="1:6" x14ac:dyDescent="0.3">
      <c r="A9" s="12" t="s">
        <v>18</v>
      </c>
      <c r="B9" s="15">
        <v>110000</v>
      </c>
      <c r="E9" s="20" t="s">
        <v>25</v>
      </c>
      <c r="F9" s="21">
        <v>28500</v>
      </c>
    </row>
    <row r="10" spans="1:6" x14ac:dyDescent="0.3">
      <c r="A10" s="12"/>
      <c r="B10" s="14"/>
      <c r="E10" s="12"/>
      <c r="F10" s="13"/>
    </row>
    <row r="11" spans="1:6" x14ac:dyDescent="0.3">
      <c r="A11" s="12" t="s">
        <v>19</v>
      </c>
      <c r="B11" s="16">
        <f>B9/B8</f>
        <v>1.4360313315926894</v>
      </c>
      <c r="E11" s="12" t="s">
        <v>26</v>
      </c>
      <c r="F11" s="16">
        <f>F9/F7</f>
        <v>1.1875</v>
      </c>
    </row>
    <row r="12" spans="1:6" ht="15" thickBot="1" x14ac:dyDescent="0.35">
      <c r="A12" s="17" t="s">
        <v>10</v>
      </c>
      <c r="B12" s="18" t="str">
        <f>IF(B11&gt;=F1,"Aprovado","Recusado")</f>
        <v>Aprovado</v>
      </c>
      <c r="E12" s="17" t="s">
        <v>10</v>
      </c>
      <c r="F12" s="18" t="str">
        <f>IF(F11&gt;=(VLOOKUP(F8,E4:F5,2,FALSE)),"Aprovado","Recusado")</f>
        <v>Recusado</v>
      </c>
    </row>
    <row r="14" spans="1:6" ht="15" thickBot="1" x14ac:dyDescent="0.35"/>
    <row r="15" spans="1:6" x14ac:dyDescent="0.3">
      <c r="A15" s="10" t="s">
        <v>20</v>
      </c>
      <c r="B15" s="11" t="s">
        <v>14</v>
      </c>
      <c r="E15" s="10" t="s">
        <v>2</v>
      </c>
      <c r="F15" s="19">
        <f>'Análise da Proposta'!B4</f>
        <v>24000</v>
      </c>
    </row>
    <row r="16" spans="1:6" x14ac:dyDescent="0.3">
      <c r="A16" s="12" t="s">
        <v>1</v>
      </c>
      <c r="B16" s="13" t="s">
        <v>15</v>
      </c>
      <c r="E16" s="20" t="s">
        <v>22</v>
      </c>
      <c r="F16" s="13" t="s">
        <v>24</v>
      </c>
    </row>
    <row r="17" spans="1:6" x14ac:dyDescent="0.3">
      <c r="A17" s="12"/>
      <c r="B17" s="14"/>
      <c r="E17" s="20" t="s">
        <v>27</v>
      </c>
      <c r="F17" s="21">
        <v>123000</v>
      </c>
    </row>
    <row r="18" spans="1:6" x14ac:dyDescent="0.3">
      <c r="A18" s="12" t="s">
        <v>2</v>
      </c>
      <c r="B18" s="15">
        <f>'Análise da Proposta'!B4</f>
        <v>24000</v>
      </c>
      <c r="E18" s="12"/>
      <c r="F18" s="13"/>
    </row>
    <row r="19" spans="1:6" x14ac:dyDescent="0.3">
      <c r="A19" s="12" t="s">
        <v>5</v>
      </c>
      <c r="B19" s="15">
        <v>75000</v>
      </c>
      <c r="E19" s="12" t="s">
        <v>26</v>
      </c>
      <c r="F19" s="16">
        <f>F17/F15</f>
        <v>5.125</v>
      </c>
    </row>
    <row r="20" spans="1:6" ht="15" thickBot="1" x14ac:dyDescent="0.35">
      <c r="A20" s="12" t="s">
        <v>12</v>
      </c>
      <c r="B20" s="15">
        <v>7000</v>
      </c>
      <c r="E20" s="17" t="s">
        <v>10</v>
      </c>
      <c r="F20" s="18" t="str">
        <f>IF(F19&gt;=(VLOOKUP(F16,E4:F5,2,FALSE)),"Aprovado","Recusado")</f>
        <v>Aprovado</v>
      </c>
    </row>
    <row r="21" spans="1:6" x14ac:dyDescent="0.3">
      <c r="A21" s="12"/>
      <c r="B21" s="14"/>
    </row>
    <row r="22" spans="1:6" x14ac:dyDescent="0.3">
      <c r="A22" s="12" t="s">
        <v>17</v>
      </c>
      <c r="B22" s="15">
        <f>SUM(B18:B20)</f>
        <v>106000</v>
      </c>
    </row>
    <row r="23" spans="1:6" x14ac:dyDescent="0.3">
      <c r="A23" s="12" t="s">
        <v>18</v>
      </c>
      <c r="B23" s="15">
        <v>75000</v>
      </c>
    </row>
    <row r="24" spans="1:6" x14ac:dyDescent="0.3">
      <c r="A24" s="12"/>
      <c r="B24" s="14"/>
    </row>
    <row r="25" spans="1:6" x14ac:dyDescent="0.3">
      <c r="A25" s="12" t="s">
        <v>19</v>
      </c>
      <c r="B25" s="16">
        <f>B23/B22</f>
        <v>0.70754716981132071</v>
      </c>
    </row>
    <row r="26" spans="1:6" ht="15" thickBot="1" x14ac:dyDescent="0.35">
      <c r="A26" s="17" t="s">
        <v>10</v>
      </c>
      <c r="B26" s="18" t="str">
        <f>IF(B25&gt;=F1,"Aprovado","Recusado")</f>
        <v>Recusado</v>
      </c>
    </row>
    <row r="28" spans="1:6" ht="15" thickBot="1" x14ac:dyDescent="0.35"/>
    <row r="29" spans="1:6" x14ac:dyDescent="0.3">
      <c r="A29" s="10" t="s">
        <v>21</v>
      </c>
      <c r="B29" s="11" t="s">
        <v>14</v>
      </c>
    </row>
    <row r="30" spans="1:6" x14ac:dyDescent="0.3">
      <c r="A30" s="12" t="s">
        <v>1</v>
      </c>
      <c r="B30" s="13" t="s">
        <v>15</v>
      </c>
    </row>
    <row r="31" spans="1:6" x14ac:dyDescent="0.3">
      <c r="A31" s="12"/>
      <c r="B31" s="14"/>
    </row>
    <row r="32" spans="1:6" x14ac:dyDescent="0.3">
      <c r="A32" s="12" t="s">
        <v>2</v>
      </c>
      <c r="B32" s="15">
        <f>'Análise da Proposta'!B4</f>
        <v>24000</v>
      </c>
    </row>
    <row r="33" spans="1:2" x14ac:dyDescent="0.3">
      <c r="A33" s="12" t="s">
        <v>5</v>
      </c>
      <c r="B33" s="15">
        <v>12000</v>
      </c>
    </row>
    <row r="34" spans="1:2" x14ac:dyDescent="0.3">
      <c r="A34" s="12" t="s">
        <v>12</v>
      </c>
      <c r="B34" s="15">
        <v>11000</v>
      </c>
    </row>
    <row r="35" spans="1:2" x14ac:dyDescent="0.3">
      <c r="A35" s="12"/>
      <c r="B35" s="14"/>
    </row>
    <row r="36" spans="1:2" x14ac:dyDescent="0.3">
      <c r="A36" s="12" t="s">
        <v>17</v>
      </c>
      <c r="B36" s="15">
        <f>SUM(B32:B34)</f>
        <v>47000</v>
      </c>
    </row>
    <row r="37" spans="1:2" x14ac:dyDescent="0.3">
      <c r="A37" s="12" t="s">
        <v>18</v>
      </c>
      <c r="B37" s="15">
        <v>80000</v>
      </c>
    </row>
    <row r="38" spans="1:2" x14ac:dyDescent="0.3">
      <c r="A38" s="12"/>
      <c r="B38" s="14"/>
    </row>
    <row r="39" spans="1:2" x14ac:dyDescent="0.3">
      <c r="A39" s="12" t="s">
        <v>19</v>
      </c>
      <c r="B39" s="16">
        <f>B37/B36</f>
        <v>1.7021276595744681</v>
      </c>
    </row>
    <row r="40" spans="1:2" ht="15" thickBot="1" x14ac:dyDescent="0.35">
      <c r="A40" s="17" t="s">
        <v>10</v>
      </c>
      <c r="B40" s="18" t="str">
        <f>IF(B39&gt;=F1,"Aprovado","Recusado")</f>
        <v>Aprovado</v>
      </c>
    </row>
  </sheetData>
  <conditionalFormatting sqref="B12">
    <cfRule type="containsText" dxfId="9" priority="11" operator="containsText" text="Recusado">
      <formula>NOT(ISERROR(SEARCH("Recusado",B12)))</formula>
    </cfRule>
    <cfRule type="containsText" dxfId="8" priority="12" operator="containsText" text="Aprovado">
      <formula>NOT(ISERROR(SEARCH("Aprovado",B12)))</formula>
    </cfRule>
  </conditionalFormatting>
  <conditionalFormatting sqref="B26">
    <cfRule type="containsText" dxfId="7" priority="9" operator="containsText" text="Recusado">
      <formula>NOT(ISERROR(SEARCH("Recusado",B26)))</formula>
    </cfRule>
    <cfRule type="containsText" dxfId="6" priority="10" operator="containsText" text="Aprovado">
      <formula>NOT(ISERROR(SEARCH("Aprovado",B26)))</formula>
    </cfRule>
  </conditionalFormatting>
  <conditionalFormatting sqref="B40">
    <cfRule type="containsText" dxfId="5" priority="7" operator="containsText" text="Recusado">
      <formula>NOT(ISERROR(SEARCH("Recusado",B40)))</formula>
    </cfRule>
    <cfRule type="containsText" dxfId="4" priority="8" operator="containsText" text="Aprovado">
      <formula>NOT(ISERROR(SEARCH("Aprovado",B40)))</formula>
    </cfRule>
  </conditionalFormatting>
  <conditionalFormatting sqref="F12">
    <cfRule type="containsText" dxfId="3" priority="4" operator="containsText" text="Aprovado">
      <formula>NOT(ISERROR(SEARCH("Aprovado",F12)))</formula>
    </cfRule>
    <cfRule type="containsText" dxfId="2" priority="3" operator="containsText" text="Recusado">
      <formula>NOT(ISERROR(SEARCH("Recusado",F12)))</formula>
    </cfRule>
  </conditionalFormatting>
  <conditionalFormatting sqref="F20">
    <cfRule type="containsText" dxfId="1" priority="2" operator="containsText" text="Aprovado">
      <formula>NOT(ISERROR(SEARCH("Aprovado",F20)))</formula>
    </cfRule>
    <cfRule type="containsText" dxfId="0" priority="1" operator="containsText" text="Recusado">
      <formula>NOT(ISERROR(SEARCH("Recusado",F20)))</formula>
    </cfRule>
  </conditionalFormatting>
  <dataValidations count="1">
    <dataValidation type="list" allowBlank="1" showInputMessage="1" showErrorMessage="1" sqref="F8 F16" xr:uid="{3B9D099D-E798-459E-B9EF-304178D11165}">
      <formula1>$E$4:$E$5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Análise da Proposta</vt:lpstr>
      <vt:lpstr>Análise de Garantias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BRANDAO</dc:creator>
  <cp:lastModifiedBy>BRUNO BRANDAO</cp:lastModifiedBy>
  <dcterms:created xsi:type="dcterms:W3CDTF">2024-11-17T19:20:15Z</dcterms:created>
  <dcterms:modified xsi:type="dcterms:W3CDTF">2024-11-17T20:09:58Z</dcterms:modified>
</cp:coreProperties>
</file>